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GitHub\RC_Car\"/>
    </mc:Choice>
  </mc:AlternateContent>
  <xr:revisionPtr revIDLastSave="0" documentId="13_ncr:1_{938ADBB3-7944-44C5-954E-E764EBCC2C8F}" xr6:coauthVersionLast="47" xr6:coauthVersionMax="47" xr10:uidLastSave="{00000000-0000-0000-0000-000000000000}"/>
  <bookViews>
    <workbookView xWindow="-108" yWindow="-108" windowWidth="23256" windowHeight="14016" xr2:uid="{DFB2C8BE-003C-4554-867F-6DFF130D1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2" i="1"/>
  <c r="I5" i="1"/>
  <c r="I6" i="1"/>
  <c r="I7" i="1"/>
  <c r="I8" i="1"/>
  <c r="I9" i="1"/>
  <c r="I10" i="1"/>
  <c r="I4" i="1"/>
</calcChain>
</file>

<file path=xl/sharedStrings.xml><?xml version="1.0" encoding="utf-8"?>
<sst xmlns="http://schemas.openxmlformats.org/spreadsheetml/2006/main" count="55" uniqueCount="47">
  <si>
    <t>McMaster-Carr Parts List</t>
  </si>
  <si>
    <t>Part</t>
  </si>
  <si>
    <t>Part Number</t>
  </si>
  <si>
    <t>1327K113</t>
  </si>
  <si>
    <t>Description</t>
  </si>
  <si>
    <t>1/4" diameter, 3" long</t>
  </si>
  <si>
    <t>Link</t>
  </si>
  <si>
    <t>https://www.mcmaster.com/products/axle-shafts/rotary-shafts-5/length~3/diameter~1-4-1/</t>
  </si>
  <si>
    <t>Clevis pin</t>
  </si>
  <si>
    <t>90378A112</t>
  </si>
  <si>
    <t>1/8" diameter, 7/16" length</t>
  </si>
  <si>
    <t>Cotter pin</t>
  </si>
  <si>
    <t>98335A029</t>
  </si>
  <si>
    <t>for 7/64" to 9/64" clevis pin diameter</t>
  </si>
  <si>
    <t>https://www.mcmaster.com/products/cotter-pins/hairpin-cotter-pins-1~~/</t>
  </si>
  <si>
    <t>Music wire</t>
  </si>
  <si>
    <t>8908K42</t>
  </si>
  <si>
    <t>Extension springs</t>
  </si>
  <si>
    <t>9654K944</t>
  </si>
  <si>
    <t>0.5" length, 0.188" outer diameter</t>
  </si>
  <si>
    <t>https://www.mcmaster.com/products/tension-springs/extension-springs-1~/extension-springs-with-loop-ends-7/od~0-188/length~0-5/</t>
  </si>
  <si>
    <t>Screw</t>
  </si>
  <si>
    <t>91290A053</t>
  </si>
  <si>
    <t>M2.5, 14mm long</t>
  </si>
  <si>
    <t>Heat-Set insert</t>
  </si>
  <si>
    <t>94180A323</t>
  </si>
  <si>
    <t>M2.5, 5.6mm length</t>
  </si>
  <si>
    <t>https://www.mcmaster.com/products/inserts/threaded-insert-type~heat-set/tapered-heat-set-inserts-for-plastic-7/system-of-measurement~metric/thread-size~m2-5/</t>
  </si>
  <si>
    <t>Rotary shaft</t>
  </si>
  <si>
    <t>Price</t>
  </si>
  <si>
    <t>Quantity</t>
  </si>
  <si>
    <t>https://www.mcmaster.com/products/lock-pins/clevis-pins-4~/clevis-pins-3~~/diameter~1-8-1/usable-length~7-16/</t>
  </si>
  <si>
    <t>0.039" diameter, 1' length</t>
  </si>
  <si>
    <t>https://www.mcmaster.com/products/music-wire/length~1-ft/diameter~0-039/</t>
  </si>
  <si>
    <t>https://www.mcmaster.com/products/screws/socket-head-screws-2~/alloy-steel-socket-head-screws-8/system-of-measurement~metric/thread-size~m2-5/length~14-mm/</t>
  </si>
  <si>
    <t>Cost per Build</t>
  </si>
  <si>
    <t>Amt per Build</t>
  </si>
  <si>
    <t>(as of 9/13/2025)</t>
  </si>
  <si>
    <t>DigiKey Parts List</t>
  </si>
  <si>
    <t>Total</t>
  </si>
  <si>
    <t>Bearing</t>
  </si>
  <si>
    <t>1995-1000-ND</t>
  </si>
  <si>
    <t>https://www.digikey.com/en/products/detail/mechatronics-bearing-group/R4-2RS/9608359</t>
  </si>
  <si>
    <t>1/4" inner diameter, 5/8 outer diameter</t>
  </si>
  <si>
    <t>Misc</t>
  </si>
  <si>
    <t>9V battery</t>
  </si>
  <si>
    <t>n24LF01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</si>
</sst>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0" applyNumberForma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F12E-B1B9-4BEC-842B-38B0B1EAA5E6}">
  <dimension ref="A1:I31"/>
  <sheetViews>
    <sheetView tabSelected="1" workbookViewId="0">
      <selection activeCell="F17" sqref="F17"/>
    </sheetView>
  </sheetViews>
  <sheetFormatPr defaultRowHeight="14.4" x14ac:dyDescent="0.3"/>
  <cols>
    <col min="1" max="1" width="21.6640625" bestFit="1" customWidth="1"/>
    <col min="2" max="2" width="11.5546875" bestFit="1" customWidth="1"/>
    <col min="3" max="3" width="30.21875" bestFit="1" customWidth="1"/>
    <col min="5" max="5" width="10.21875" bestFit="1" customWidth="1"/>
    <col min="8" max="8" width="17.21875" bestFit="1" customWidth="1"/>
    <col min="9" max="9" width="12.5546875" bestFit="1" customWidth="1"/>
  </cols>
  <sheetData>
    <row r="1" spans="1:9" x14ac:dyDescent="0.3">
      <c r="A1" s="1" t="s">
        <v>0</v>
      </c>
    </row>
    <row r="2" spans="1:9" x14ac:dyDescent="0.3">
      <c r="H2" t="s">
        <v>37</v>
      </c>
    </row>
    <row r="3" spans="1:9" x14ac:dyDescent="0.3">
      <c r="A3" s="1" t="s">
        <v>1</v>
      </c>
      <c r="B3" s="1" t="s">
        <v>2</v>
      </c>
      <c r="C3" s="1" t="s">
        <v>4</v>
      </c>
      <c r="D3" s="1" t="s">
        <v>6</v>
      </c>
      <c r="E3" s="1" t="s">
        <v>29</v>
      </c>
      <c r="F3" s="1" t="s">
        <v>30</v>
      </c>
      <c r="H3" s="1" t="s">
        <v>36</v>
      </c>
      <c r="I3" s="1" t="s">
        <v>35</v>
      </c>
    </row>
    <row r="4" spans="1:9" x14ac:dyDescent="0.3">
      <c r="A4" t="s">
        <v>28</v>
      </c>
      <c r="B4" t="s">
        <v>3</v>
      </c>
      <c r="C4" t="s">
        <v>5</v>
      </c>
      <c r="D4" t="s">
        <v>7</v>
      </c>
      <c r="E4" s="2">
        <v>4.0999999999999996</v>
      </c>
      <c r="F4">
        <v>1</v>
      </c>
      <c r="H4">
        <v>1</v>
      </c>
      <c r="I4" s="3">
        <f>E4/F4*H4</f>
        <v>4.0999999999999996</v>
      </c>
    </row>
    <row r="5" spans="1:9" x14ac:dyDescent="0.3">
      <c r="A5" t="s">
        <v>8</v>
      </c>
      <c r="B5" t="s">
        <v>9</v>
      </c>
      <c r="C5" t="s">
        <v>10</v>
      </c>
      <c r="D5" t="s">
        <v>31</v>
      </c>
      <c r="E5" s="2">
        <v>3.67</v>
      </c>
      <c r="F5">
        <v>1</v>
      </c>
      <c r="H5">
        <v>2</v>
      </c>
      <c r="I5" s="3">
        <f t="shared" ref="I5:I10" si="0">E5/F5*H5</f>
        <v>7.34</v>
      </c>
    </row>
    <row r="6" spans="1:9" x14ac:dyDescent="0.3">
      <c r="A6" t="s">
        <v>11</v>
      </c>
      <c r="B6" t="s">
        <v>12</v>
      </c>
      <c r="C6" t="s">
        <v>13</v>
      </c>
      <c r="D6" t="s">
        <v>14</v>
      </c>
      <c r="E6" s="2">
        <v>16.23</v>
      </c>
      <c r="F6">
        <v>100</v>
      </c>
      <c r="H6">
        <v>2</v>
      </c>
      <c r="I6" s="3">
        <f t="shared" si="0"/>
        <v>0.3246</v>
      </c>
    </row>
    <row r="7" spans="1:9" x14ac:dyDescent="0.3">
      <c r="A7" t="s">
        <v>15</v>
      </c>
      <c r="B7" t="s">
        <v>16</v>
      </c>
      <c r="C7" t="s">
        <v>32</v>
      </c>
      <c r="D7" t="s">
        <v>33</v>
      </c>
      <c r="E7" s="2">
        <v>22.12</v>
      </c>
      <c r="F7">
        <v>100</v>
      </c>
      <c r="H7">
        <v>1</v>
      </c>
      <c r="I7" s="3">
        <f t="shared" si="0"/>
        <v>0.22120000000000001</v>
      </c>
    </row>
    <row r="8" spans="1:9" x14ac:dyDescent="0.3">
      <c r="A8" t="s">
        <v>17</v>
      </c>
      <c r="B8" t="s">
        <v>18</v>
      </c>
      <c r="C8" t="s">
        <v>19</v>
      </c>
      <c r="D8" t="s">
        <v>20</v>
      </c>
      <c r="E8" s="2">
        <v>11.5</v>
      </c>
      <c r="F8">
        <v>12</v>
      </c>
      <c r="H8">
        <v>2</v>
      </c>
      <c r="I8" s="3">
        <f t="shared" si="0"/>
        <v>1.9166666666666667</v>
      </c>
    </row>
    <row r="9" spans="1:9" x14ac:dyDescent="0.3">
      <c r="A9" t="s">
        <v>21</v>
      </c>
      <c r="B9" t="s">
        <v>22</v>
      </c>
      <c r="C9" t="s">
        <v>23</v>
      </c>
      <c r="D9" t="s">
        <v>34</v>
      </c>
      <c r="E9" s="2">
        <v>7.52</v>
      </c>
      <c r="F9">
        <v>50</v>
      </c>
      <c r="H9">
        <v>3</v>
      </c>
      <c r="I9" s="3">
        <f t="shared" si="0"/>
        <v>0.45119999999999993</v>
      </c>
    </row>
    <row r="10" spans="1:9" x14ac:dyDescent="0.3">
      <c r="A10" t="s">
        <v>24</v>
      </c>
      <c r="B10" t="s">
        <v>25</v>
      </c>
      <c r="C10" t="s">
        <v>26</v>
      </c>
      <c r="D10" t="s">
        <v>27</v>
      </c>
      <c r="E10" s="2">
        <v>24.72</v>
      </c>
      <c r="F10">
        <v>100</v>
      </c>
      <c r="H10">
        <v>3</v>
      </c>
      <c r="I10" s="3">
        <f t="shared" si="0"/>
        <v>0.74159999999999993</v>
      </c>
    </row>
    <row r="12" spans="1:9" x14ac:dyDescent="0.3">
      <c r="H12" s="1" t="s">
        <v>39</v>
      </c>
      <c r="I12" s="4">
        <f>SUM(I4:I10)</f>
        <v>15.095266666666666</v>
      </c>
    </row>
    <row r="14" spans="1:9" x14ac:dyDescent="0.3">
      <c r="A14" s="1" t="s">
        <v>38</v>
      </c>
    </row>
    <row r="15" spans="1:9" x14ac:dyDescent="0.3">
      <c r="A15" s="1" t="s">
        <v>1</v>
      </c>
      <c r="B15" s="1" t="s">
        <v>2</v>
      </c>
      <c r="C15" s="1" t="s">
        <v>4</v>
      </c>
      <c r="D15" s="1" t="s">
        <v>6</v>
      </c>
      <c r="E15" s="1" t="s">
        <v>29</v>
      </c>
      <c r="F15" s="1" t="s">
        <v>30</v>
      </c>
      <c r="G15" s="1"/>
      <c r="H15" s="1" t="s">
        <v>36</v>
      </c>
      <c r="I15" s="1" t="s">
        <v>35</v>
      </c>
    </row>
    <row r="16" spans="1:9" x14ac:dyDescent="0.3">
      <c r="A16" t="s">
        <v>40</v>
      </c>
      <c r="B16" t="s">
        <v>41</v>
      </c>
      <c r="C16" t="s">
        <v>43</v>
      </c>
      <c r="D16" t="s">
        <v>42</v>
      </c>
      <c r="E16" s="2">
        <v>1.92</v>
      </c>
      <c r="F16">
        <v>1</v>
      </c>
      <c r="H16">
        <v>2</v>
      </c>
      <c r="I16" s="3">
        <f>E16/F16*H16</f>
        <v>3.84</v>
      </c>
    </row>
    <row r="29" spans="1:1" x14ac:dyDescent="0.3">
      <c r="A29" t="s">
        <v>44</v>
      </c>
    </row>
    <row r="30" spans="1:1" x14ac:dyDescent="0.3">
      <c r="A30" t="s">
        <v>45</v>
      </c>
    </row>
    <row r="31" spans="1:1" x14ac:dyDescent="0.3">
      <c r="A3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2025-09-14T05:17:11Z</dcterms:created>
  <dcterms:modified xsi:type="dcterms:W3CDTF">2025-09-14T06:05:16Z</dcterms:modified>
</cp:coreProperties>
</file>